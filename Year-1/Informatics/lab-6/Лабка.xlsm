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Информатика\Лабораторная работа №6\"/>
    </mc:Choice>
  </mc:AlternateContent>
  <xr:revisionPtr revIDLastSave="0" documentId="13_ncr:1_{3D944389-6F08-47E7-844A-5F1CAA0F1AD2}" xr6:coauthVersionLast="45" xr6:coauthVersionMax="45" xr10:uidLastSave="{00000000-0000-0000-0000-000000000000}"/>
  <bookViews>
    <workbookView xWindow="5047" yWindow="4005" windowWidth="19364" windowHeight="12603" firstSheet="8" activeTab="10" xr2:uid="{1A511F00-2A64-439F-B5FF-B69D80BC29D3}"/>
  </bookViews>
  <sheets>
    <sheet name="Лист 1" sheetId="1" r:id="rId1"/>
    <sheet name="Задание B" sheetId="2" r:id="rId2"/>
    <sheet name="Справочник" sheetId="3" r:id="rId3"/>
    <sheet name="Расчет" sheetId="4" r:id="rId4"/>
    <sheet name="Диаграмма" sheetId="5" r:id="rId5"/>
    <sheet name="Задание E" sheetId="6" r:id="rId6"/>
    <sheet name="Вкладка 1" sheetId="14" r:id="rId7"/>
    <sheet name="Вкладка 2" sheetId="93" r:id="rId8"/>
    <sheet name="Лист1" sheetId="94" r:id="rId9"/>
    <sheet name="Задание G1_1" sheetId="95" r:id="rId10"/>
    <sheet name="Задание G1_2" sheetId="9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4" l="1"/>
  <c r="C5" i="14"/>
  <c r="C6" i="14"/>
  <c r="C7" i="14"/>
  <c r="C8" i="14"/>
  <c r="C9" i="14"/>
  <c r="C10" i="14"/>
  <c r="C11" i="14"/>
  <c r="C12" i="14"/>
  <c r="C13" i="14"/>
  <c r="C14" i="14"/>
  <c r="C15" i="14"/>
  <c r="C16" i="14"/>
  <c r="C3" i="14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2" i="6"/>
  <c r="C17" i="14" l="1"/>
  <c r="I11" i="4"/>
  <c r="I10" i="4"/>
  <c r="F15" i="4"/>
  <c r="F14" i="4"/>
  <c r="F13" i="4"/>
  <c r="F12" i="4"/>
  <c r="F11" i="4"/>
  <c r="F10" i="4"/>
  <c r="F6" i="4"/>
  <c r="F7" i="4"/>
  <c r="F8" i="4"/>
  <c r="F9" i="4"/>
  <c r="F5" i="4"/>
  <c r="E8" i="2"/>
  <c r="E9" i="2"/>
  <c r="E10" i="2"/>
  <c r="E11" i="2"/>
  <c r="F11" i="2" s="1"/>
  <c r="E7" i="2"/>
  <c r="D9" i="2"/>
  <c r="D8" i="2"/>
  <c r="D10" i="2"/>
  <c r="D11" i="2"/>
  <c r="D7" i="2"/>
  <c r="F7" i="2" l="1"/>
  <c r="F10" i="2"/>
  <c r="F9" i="2"/>
  <c r="F8" i="2"/>
  <c r="E12" i="2"/>
  <c r="E13" i="2"/>
  <c r="E14" i="2"/>
</calcChain>
</file>

<file path=xl/sharedStrings.xml><?xml version="1.0" encoding="utf-8"?>
<sst xmlns="http://schemas.openxmlformats.org/spreadsheetml/2006/main" count="156" uniqueCount="121">
  <si>
    <t>Дата начисления:</t>
  </si>
  <si>
    <t>Годовая ставка:</t>
  </si>
  <si>
    <t>Начисление дивидендов по акциям владельцам компании</t>
  </si>
  <si>
    <t>ФИО акционера</t>
  </si>
  <si>
    <t>Сумма акций, руб.</t>
  </si>
  <si>
    <t>Дата приобретения</t>
  </si>
  <si>
    <t>Срок работы акции, в месяцах</t>
  </si>
  <si>
    <t>Сумма дивидендов</t>
  </si>
  <si>
    <t>Место по дивидендам</t>
  </si>
  <si>
    <t>Зимов И.Ф.</t>
  </si>
  <si>
    <t>Веснин Е.Г.</t>
  </si>
  <si>
    <t>Оснин Г.О.</t>
  </si>
  <si>
    <t>Белый К.В.</t>
  </si>
  <si>
    <t>Витяев А.К.</t>
  </si>
  <si>
    <t>Итого</t>
  </si>
  <si>
    <t>Минимальный размер дивидендов:</t>
  </si>
  <si>
    <t>Максимальный размер дивидендов:</t>
  </si>
  <si>
    <t>Лист1:</t>
  </si>
  <si>
    <t>"Справочник предприятия"</t>
  </si>
  <si>
    <t>Параметр</t>
  </si>
  <si>
    <t>Значение</t>
  </si>
  <si>
    <t>Название</t>
  </si>
  <si>
    <t>Директор</t>
  </si>
  <si>
    <t>Сметчик</t>
  </si>
  <si>
    <t>Рентабельность</t>
  </si>
  <si>
    <t>Транспортные расходы</t>
  </si>
  <si>
    <t>Накладные расходы</t>
  </si>
  <si>
    <t>НДС</t>
  </si>
  <si>
    <t>"НОВЫЙ ВЕК"</t>
  </si>
  <si>
    <t>Семёнова А.Н.</t>
  </si>
  <si>
    <t>Кудрин В.В.</t>
  </si>
  <si>
    <t>Лист2:</t>
  </si>
  <si>
    <t>"Расчёт сметы"</t>
  </si>
  <si>
    <t>Смета на проведение работ</t>
  </si>
  <si>
    <t>№ п/п</t>
  </si>
  <si>
    <t>Наименование работы</t>
  </si>
  <si>
    <t>Ед. изм</t>
  </si>
  <si>
    <t>Кол-во</t>
  </si>
  <si>
    <t>Стоимость ед. руб</t>
  </si>
  <si>
    <t>Общая стоимость</t>
  </si>
  <si>
    <t>Подготовка помещения</t>
  </si>
  <si>
    <t>Прокладка электролиний</t>
  </si>
  <si>
    <t>Покраска стен</t>
  </si>
  <si>
    <t>Перекраска стен</t>
  </si>
  <si>
    <t>Уборка помещения</t>
  </si>
  <si>
    <r>
      <t>м</t>
    </r>
    <r>
      <rPr>
        <vertAlign val="superscript"/>
        <sz val="11"/>
        <color theme="1"/>
        <rFont val="Calibri"/>
        <family val="2"/>
        <scheme val="minor"/>
      </rPr>
      <t>2</t>
    </r>
  </si>
  <si>
    <t>погонный м</t>
  </si>
  <si>
    <t>Итого прямых затрат:</t>
  </si>
  <si>
    <t>Транспортные расходы:</t>
  </si>
  <si>
    <t>Рентабельность:</t>
  </si>
  <si>
    <t>Накладные расходы:</t>
  </si>
  <si>
    <t>НДС:</t>
  </si>
  <si>
    <t>%</t>
  </si>
  <si>
    <t>Итого:</t>
  </si>
  <si>
    <t>Смету составил:</t>
  </si>
  <si>
    <t>Смету проверил:</t>
  </si>
  <si>
    <t>Дата:</t>
  </si>
  <si>
    <t>Лист3:</t>
  </si>
  <si>
    <t>Диаграмма</t>
  </si>
  <si>
    <t>Место</t>
  </si>
  <si>
    <t>Клуб</t>
  </si>
  <si>
    <t>Игр</t>
  </si>
  <si>
    <t>Выйгрыш</t>
  </si>
  <si>
    <t>Ничья</t>
  </si>
  <si>
    <t>Поражения</t>
  </si>
  <si>
    <t>Забитые мячи</t>
  </si>
  <si>
    <t>Пропущенные мячи</t>
  </si>
  <si>
    <t>Разница</t>
  </si>
  <si>
    <t>Очки</t>
  </si>
  <si>
    <t>Спартак-Алания</t>
  </si>
  <si>
    <t>Локомотив</t>
  </si>
  <si>
    <t>Спартак</t>
  </si>
  <si>
    <t>Динамо</t>
  </si>
  <si>
    <t>Торпеда</t>
  </si>
  <si>
    <t>ЦСКА</t>
  </si>
  <si>
    <t>Ротор</t>
  </si>
  <si>
    <t>Уралмаш</t>
  </si>
  <si>
    <t>КАМАЗ-Чаллы</t>
  </si>
  <si>
    <t>Текстильщик</t>
  </si>
  <si>
    <t>Черноморец</t>
  </si>
  <si>
    <t>Локомотив НН</t>
  </si>
  <si>
    <t>Ростсельмаш</t>
  </si>
  <si>
    <t>Жемчужина</t>
  </si>
  <si>
    <t>Крылья Советов</t>
  </si>
  <si>
    <t>Динамо-Газовик</t>
  </si>
  <si>
    <t>Таблица 1</t>
  </si>
  <si>
    <t>Наименование продукта</t>
  </si>
  <si>
    <t>Количество, кг</t>
  </si>
  <si>
    <t>Итоговая цена</t>
  </si>
  <si>
    <t>Бананы</t>
  </si>
  <si>
    <t>Свинина (вырезка)</t>
  </si>
  <si>
    <t>Говяжий язык</t>
  </si>
  <si>
    <t>Картофель</t>
  </si>
  <si>
    <t>Лук</t>
  </si>
  <si>
    <t>Помидоры</t>
  </si>
  <si>
    <t>Огурцы</t>
  </si>
  <si>
    <t>Свинина (рёбра)</t>
  </si>
  <si>
    <t>Капуста</t>
  </si>
  <si>
    <t>Баранина</t>
  </si>
  <si>
    <t>Форель</t>
  </si>
  <si>
    <t>Дорадо</t>
  </si>
  <si>
    <t>Укроп</t>
  </si>
  <si>
    <t>Петрушка</t>
  </si>
  <si>
    <t>ИТОГО:</t>
  </si>
  <si>
    <t>Таблица 2</t>
  </si>
  <si>
    <t>Цена, руб/шт</t>
  </si>
  <si>
    <t>Наименование продукта на рынке</t>
  </si>
  <si>
    <t>Редис</t>
  </si>
  <si>
    <t>ФИО сотрудника</t>
  </si>
  <si>
    <t>Начало дежурства</t>
  </si>
  <si>
    <t>Конец дежурства</t>
  </si>
  <si>
    <t>Надбавка за месяц 1</t>
  </si>
  <si>
    <t>Надбавка за месяц 2</t>
  </si>
  <si>
    <t>ouaouau</t>
  </si>
  <si>
    <t>uouaoua</t>
  </si>
  <si>
    <t>5,000.00р.</t>
  </si>
  <si>
    <t>eouaouau</t>
  </si>
  <si>
    <t>2,000.00р.</t>
  </si>
  <si>
    <t>3,000.00р.</t>
  </si>
  <si>
    <t>euauaouaou</t>
  </si>
  <si>
    <t>aoeuaouau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</si>
</sst>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404248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wrapText="1"/>
    </xf>
    <xf numFmtId="0" fontId="0" fillId="0" borderId="8" xfId="0" applyBorder="1" applyAlignment="1">
      <alignment wrapText="1"/>
    </xf>
    <xf numFmtId="14" fontId="0" fillId="0" borderId="0" xfId="0" applyNumberFormat="1"/>
    <xf numFmtId="9" fontId="0" fillId="0" borderId="0" xfId="0" applyNumberFormat="1"/>
    <xf numFmtId="49" fontId="0" fillId="0" borderId="5" xfId="0" applyNumberFormat="1" applyBorder="1" applyAlignment="1">
      <alignment wrapText="1"/>
    </xf>
    <xf numFmtId="49" fontId="0" fillId="0" borderId="10" xfId="0" applyNumberFormat="1" applyBorder="1" applyAlignment="1">
      <alignment wrapText="1"/>
    </xf>
    <xf numFmtId="2" fontId="0" fillId="0" borderId="1" xfId="0" applyNumberFormat="1" applyBorder="1" applyAlignment="1">
      <alignment wrapText="1"/>
    </xf>
    <xf numFmtId="1" fontId="0" fillId="0" borderId="1" xfId="0" applyNumberFormat="1" applyBorder="1" applyAlignment="1">
      <alignment wrapText="1"/>
    </xf>
    <xf numFmtId="1" fontId="0" fillId="0" borderId="11" xfId="0" applyNumberFormat="1" applyBorder="1" applyAlignment="1">
      <alignment wrapText="1"/>
    </xf>
    <xf numFmtId="164" fontId="0" fillId="0" borderId="1" xfId="0" applyNumberFormat="1" applyBorder="1" applyAlignment="1">
      <alignment wrapText="1"/>
    </xf>
    <xf numFmtId="164" fontId="0" fillId="0" borderId="11" xfId="0" applyNumberFormat="1" applyBorder="1" applyAlignment="1">
      <alignment wrapText="1"/>
    </xf>
    <xf numFmtId="164" fontId="0" fillId="0" borderId="0" xfId="0" applyNumberFormat="1" applyAlignment="1"/>
    <xf numFmtId="2" fontId="2" fillId="0" borderId="3" xfId="0" applyNumberFormat="1" applyFont="1" applyBorder="1" applyAlignment="1">
      <alignment wrapText="1"/>
    </xf>
    <xf numFmtId="2" fontId="2" fillId="0" borderId="0" xfId="0" applyNumberFormat="1" applyFont="1"/>
    <xf numFmtId="2" fontId="2" fillId="0" borderId="7" xfId="0" applyNumberFormat="1" applyFont="1" applyBorder="1" applyAlignment="1">
      <alignment wrapText="1"/>
    </xf>
    <xf numFmtId="0" fontId="0" fillId="0" borderId="22" xfId="0" applyBorder="1"/>
    <xf numFmtId="0" fontId="0" fillId="0" borderId="9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5" fillId="0" borderId="24" xfId="0" applyFont="1" applyBorder="1" applyAlignment="1">
      <alignment vertical="center"/>
    </xf>
    <xf numFmtId="9" fontId="0" fillId="0" borderId="6" xfId="1" applyFont="1" applyBorder="1"/>
    <xf numFmtId="9" fontId="0" fillId="0" borderId="8" xfId="1" applyFont="1" applyBorder="1"/>
    <xf numFmtId="0" fontId="0" fillId="0" borderId="31" xfId="0" applyBorder="1"/>
    <xf numFmtId="0" fontId="0" fillId="0" borderId="0" xfId="0" applyAlignment="1"/>
    <xf numFmtId="0" fontId="0" fillId="0" borderId="23" xfId="0" applyBorder="1" applyAlignment="1">
      <alignment wrapText="1"/>
    </xf>
    <xf numFmtId="0" fontId="0" fillId="0" borderId="24" xfId="0" applyBorder="1" applyAlignment="1">
      <alignment wrapText="1"/>
    </xf>
    <xf numFmtId="0" fontId="0" fillId="0" borderId="18" xfId="0" applyBorder="1"/>
    <xf numFmtId="0" fontId="0" fillId="0" borderId="32" xfId="0" applyBorder="1"/>
    <xf numFmtId="0" fontId="0" fillId="0" borderId="1" xfId="0" applyBorder="1" applyAlignment="1">
      <alignment horizontal="right"/>
    </xf>
    <xf numFmtId="0" fontId="0" fillId="0" borderId="1" xfId="0" applyBorder="1" applyAlignment="1"/>
    <xf numFmtId="0" fontId="0" fillId="0" borderId="22" xfId="0" applyBorder="1" applyAlignment="1"/>
    <xf numFmtId="0" fontId="0" fillId="0" borderId="9" xfId="0" applyBorder="1" applyAlignment="1"/>
    <xf numFmtId="0" fontId="0" fillId="0" borderId="23" xfId="0" applyBorder="1" applyAlignment="1"/>
    <xf numFmtId="0" fontId="0" fillId="0" borderId="24" xfId="0" applyBorder="1" applyAlignment="1"/>
    <xf numFmtId="0" fontId="0" fillId="0" borderId="25" xfId="0" applyBorder="1" applyAlignment="1"/>
    <xf numFmtId="0" fontId="0" fillId="0" borderId="31" xfId="0" applyBorder="1" applyAlignment="1"/>
    <xf numFmtId="0" fontId="0" fillId="0" borderId="5" xfId="0" applyBorder="1" applyAlignment="1"/>
    <xf numFmtId="0" fontId="0" fillId="0" borderId="33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7" fillId="0" borderId="1" xfId="0" applyFont="1" applyBorder="1"/>
    <xf numFmtId="0" fontId="8" fillId="0" borderId="1" xfId="0" applyFont="1" applyBorder="1"/>
    <xf numFmtId="0" fontId="0" fillId="0" borderId="1" xfId="0" applyBorder="1" applyAlignment="1">
      <alignment horizontal="righ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13" xfId="0" applyFont="1" applyBorder="1" applyAlignment="1">
      <alignment horizontal="right" wrapText="1"/>
    </xf>
    <xf numFmtId="0" fontId="2" fillId="0" borderId="14" xfId="0" applyFont="1" applyBorder="1" applyAlignment="1">
      <alignment horizontal="right" wrapText="1"/>
    </xf>
    <xf numFmtId="0" fontId="2" fillId="0" borderId="15" xfId="0" applyFont="1" applyBorder="1" applyAlignment="1">
      <alignment horizontal="right" wrapText="1"/>
    </xf>
    <xf numFmtId="0" fontId="2" fillId="0" borderId="16" xfId="0" applyFont="1" applyBorder="1" applyAlignment="1">
      <alignment horizontal="right" wrapText="1"/>
    </xf>
    <xf numFmtId="0" fontId="2" fillId="0" borderId="17" xfId="0" applyFont="1" applyBorder="1" applyAlignment="1">
      <alignment horizontal="right" wrapText="1"/>
    </xf>
    <xf numFmtId="0" fontId="2" fillId="0" borderId="18" xfId="0" applyFont="1" applyBorder="1" applyAlignment="1">
      <alignment horizontal="right" wrapText="1"/>
    </xf>
    <xf numFmtId="0" fontId="2" fillId="0" borderId="19" xfId="0" applyFont="1" applyBorder="1" applyAlignment="1">
      <alignment horizontal="right" wrapText="1"/>
    </xf>
    <xf numFmtId="0" fontId="2" fillId="0" borderId="20" xfId="0" applyFont="1" applyBorder="1" applyAlignment="1">
      <alignment horizontal="right" wrapText="1"/>
    </xf>
    <xf numFmtId="0" fontId="2" fillId="0" borderId="21" xfId="0" applyFont="1" applyBorder="1" applyAlignment="1">
      <alignment horizontal="right" wrapText="1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28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1" xfId="0" applyBorder="1" applyAlignment="1">
      <alignment horizontal="right"/>
    </xf>
    <xf numFmtId="0" fontId="7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0" fontId="7" fillId="0" borderId="1" xfId="0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</cellXfs>
  <cellStyles count="2">
    <cellStyle name="Обычный" xfId="0" builtinId="0"/>
    <cellStyle name="Процентный" xfId="1" builtinId="5"/>
  </cellStyles>
  <dxfs count="8">
    <dxf>
      <font>
        <b/>
        <i val="0"/>
        <strike val="0"/>
        <color rgb="FFFF0000"/>
      </font>
      <fill>
        <patternFill>
          <fgColor theme="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Расчет!$F$10</c:f>
              <c:numCache>
                <c:formatCode>General</c:formatCode>
                <c:ptCount val="1"/>
                <c:pt idx="0">
                  <c:v>25400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A-4904-B572-B843A25C9FF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Расчет!$F$11</c:f>
              <c:numCache>
                <c:formatCode>General</c:formatCode>
                <c:ptCount val="1"/>
                <c:pt idx="0">
                  <c:v>3556.0000000000005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AA-4904-B572-B843A25C9FF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Расчет!$F$12</c:f>
              <c:numCache>
                <c:formatCode>General</c:formatCode>
                <c:ptCount val="1"/>
                <c:pt idx="0">
                  <c:v>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AA-4904-B572-B843A25C9FF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Расчет!$F$13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AA-4904-B572-B843A25C9FF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Расчет!$F$14</c:f>
              <c:numCache>
                <c:formatCode>General</c:formatCode>
                <c:ptCount val="1"/>
                <c:pt idx="0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AA-4904-B572-B843A25C9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522975"/>
        <c:axId val="219941631"/>
      </c:barChart>
      <c:catAx>
        <c:axId val="21952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941631"/>
        <c:crosses val="autoZero"/>
        <c:auto val="1"/>
        <c:lblAlgn val="ctr"/>
        <c:lblOffset val="100"/>
        <c:noMultiLvlLbl val="0"/>
      </c:catAx>
      <c:valAx>
        <c:axId val="21994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2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341242084511017E-2"/>
          <c:y val="5.9940476190476183E-2"/>
          <c:w val="0.87310316413124434"/>
          <c:h val="0.6555755530558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Расчет!$A$10</c:f>
              <c:strCache>
                <c:ptCount val="1"/>
                <c:pt idx="0">
                  <c:v>Итого прямых затрат: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Расчет!$F$10</c:f>
              <c:numCache>
                <c:formatCode>General</c:formatCode>
                <c:ptCount val="1"/>
                <c:pt idx="0">
                  <c:v>25400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2-4F3E-8B17-DFC35F9D6963}"/>
            </c:ext>
          </c:extLst>
        </c:ser>
        <c:ser>
          <c:idx val="1"/>
          <c:order val="1"/>
          <c:tx>
            <c:strRef>
              <c:f>Расчет!$A$11</c:f>
              <c:strCache>
                <c:ptCount val="1"/>
                <c:pt idx="0">
                  <c:v>Транспортные расходы: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Расчет!$F$11</c:f>
              <c:numCache>
                <c:formatCode>General</c:formatCode>
                <c:ptCount val="1"/>
                <c:pt idx="0">
                  <c:v>3556.0000000000005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22-4F3E-8B17-DFC35F9D6963}"/>
            </c:ext>
          </c:extLst>
        </c:ser>
        <c:ser>
          <c:idx val="2"/>
          <c:order val="2"/>
          <c:tx>
            <c:strRef>
              <c:f>Расчет!$A$12</c:f>
              <c:strCache>
                <c:ptCount val="1"/>
                <c:pt idx="0">
                  <c:v>Рентабельность: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Расчет!$F$12</c:f>
              <c:numCache>
                <c:formatCode>General</c:formatCode>
                <c:ptCount val="1"/>
                <c:pt idx="0">
                  <c:v>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22-4F3E-8B17-DFC35F9D6963}"/>
            </c:ext>
          </c:extLst>
        </c:ser>
        <c:ser>
          <c:idx val="3"/>
          <c:order val="3"/>
          <c:tx>
            <c:strRef>
              <c:f>Расчет!$A$13</c:f>
              <c:strCache>
                <c:ptCount val="1"/>
                <c:pt idx="0">
                  <c:v>Накладные расходы: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Расчет!$F$13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22-4F3E-8B17-DFC35F9D6963}"/>
            </c:ext>
          </c:extLst>
        </c:ser>
        <c:ser>
          <c:idx val="4"/>
          <c:order val="4"/>
          <c:tx>
            <c:strRef>
              <c:f>Расчет!$A$14</c:f>
              <c:strCache>
                <c:ptCount val="1"/>
                <c:pt idx="0">
                  <c:v>НДС: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Расчет!$F$14</c:f>
              <c:numCache>
                <c:formatCode>General</c:formatCode>
                <c:ptCount val="1"/>
                <c:pt idx="0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22-4F3E-8B17-DFC35F9D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9522975"/>
        <c:axId val="219941631"/>
      </c:barChart>
      <c:catAx>
        <c:axId val="2195229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9941631"/>
        <c:crosses val="autoZero"/>
        <c:auto val="1"/>
        <c:lblAlgn val="ctr"/>
        <c:lblOffset val="100"/>
        <c:noMultiLvlLbl val="0"/>
      </c:catAx>
      <c:valAx>
        <c:axId val="21994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22975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496388</xdr:colOff>
      <xdr:row>9</xdr:row>
      <xdr:rowOff>87085</xdr:rowOff>
    </xdr:from>
    <xdr:to>
      <xdr:col>12</xdr:col>
      <xdr:colOff>557348</xdr:colOff>
      <xdr:row>24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F186C0F-6E51-4A2C-86A6-5386093AE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8</xdr:col>
      <xdr:colOff>261256</xdr:colOff>
      <xdr:row>13</xdr:row>
      <xdr:rowOff>121920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6BEF6BE-50E4-401B-9F87-5436B3ABE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B3C09-D31A-4D8B-8017-33C6F3894BB6}">
  <sheetPr codeName="Worksheet____1"/>
  <dimension ref="A1"/>
  <sheetViews>
    <sheetView workbookViewId="0"/>
  </sheetViews>
  <sheetFormatPr defaultRowHeight="14.4" x14ac:dyDescent="0.25"/>
  <sheetData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88E6-928A-4DED-82C3-AFEC8DC02A78}">
  <sheetPr codeName="Worksheet____2"/>
  <dimension ref="A1:H19"/>
  <sheetViews>
    <sheetView view="pageLayout" zoomScale="115" zoomScaleNormal="115" zoomScalePageLayoutView="115" workbookViewId="0">
      <selection activeCell="A23" sqref="A23"/>
    </sheetView>
  </sheetViews>
  <sheetFormatPr defaultRowHeight="14.4" x14ac:dyDescent="0.25"/>
  <cols>
    <col min="1" max="1" width="16.375" bestFit="1" customWidth="1"/>
    <col min="2" max="2" width="13.125" customWidth="1"/>
    <col min="3" max="3" width="13.75" bestFit="1" customWidth="1"/>
    <col min="4" max="4" width="12.125" bestFit="1" customWidth="1"/>
    <col min="5" max="5" width="11.75" bestFit="1" customWidth="1"/>
    <col min="6" max="6" width="12" bestFit="1" customWidth="1"/>
    <col min="8" max="9" width="9" customWidth="1"/>
  </cols>
  <sheetData>
    <row r="1" spans="1:8" x14ac:dyDescent="0.25">
      <c r="A1" t="s">
        <v>0</v>
      </c>
      <c r="B1" s="25">
        <v>42343</v>
      </c>
    </row>
    <row r="2" spans="1:8" x14ac:dyDescent="0.25">
      <c r="A2" t="s">
        <v>1</v>
      </c>
      <c r="B2" s="17">
        <v>0.47</v>
      </c>
    </row>
    <row r="4" spans="1:8" ht="16.5" x14ac:dyDescent="0.3">
      <c r="A4" s="58" t="s">
        <v>2</v>
      </c>
      <c r="B4" s="59"/>
      <c r="C4" s="59"/>
      <c r="D4" s="59"/>
      <c r="E4" s="59"/>
      <c r="F4" s="59"/>
    </row>
    <row r="5" spans="1:8" ht="15.1" thickBot="1" x14ac:dyDescent="0.3"/>
    <row r="6" spans="1:8" ht="43.2" x14ac:dyDescent="0.25">
      <c r="A6" s="12" t="s">
        <v>3</v>
      </c>
      <c r="B6" s="9" t="s">
        <v>4</v>
      </c>
      <c r="C6" s="9" t="s">
        <v>5</v>
      </c>
      <c r="D6" s="9" t="s">
        <v>6</v>
      </c>
      <c r="E6" s="9" t="s">
        <v>7</v>
      </c>
      <c r="F6" s="10" t="s">
        <v>8</v>
      </c>
    </row>
    <row r="7" spans="1:8" x14ac:dyDescent="0.25">
      <c r="A7" s="18" t="s">
        <v>9</v>
      </c>
      <c r="B7" s="21">
        <v>4691</v>
      </c>
      <c r="C7" s="23">
        <v>40526</v>
      </c>
      <c r="D7" s="21">
        <f t="shared" ref="D7:D11" si="0">ROUND(YEARFRAC(C7,$B$1)*12,0)</f>
        <v>60</v>
      </c>
      <c r="E7" s="20">
        <f>PRODUCT($B$2,D7,B7,1/12)</f>
        <v>11023.849999999999</v>
      </c>
      <c r="F7" s="14">
        <f>_xlfn.RANK.EQ(E7,$E$7:E$11,0)</f>
        <v>2</v>
      </c>
    </row>
    <row r="8" spans="1:8" x14ac:dyDescent="0.25">
      <c r="A8" s="18" t="s">
        <v>10</v>
      </c>
      <c r="B8" s="21">
        <v>8002</v>
      </c>
      <c r="C8" s="23">
        <v>41287</v>
      </c>
      <c r="D8" s="21">
        <f>ROUND(YEARFRAC(C8,$B$1)*12,0)</f>
        <v>35</v>
      </c>
      <c r="E8" s="20">
        <f t="shared" ref="E8:E11" si="1">PRODUCT($B$2,D8,B8,1/12)</f>
        <v>10969.408333333333</v>
      </c>
      <c r="F8" s="14">
        <f>_xlfn.RANK.EQ(E8,$E$7:E$11,0)</f>
        <v>3</v>
      </c>
    </row>
    <row r="9" spans="1:8" x14ac:dyDescent="0.25">
      <c r="A9" s="18" t="s">
        <v>11</v>
      </c>
      <c r="B9" s="21">
        <v>4891</v>
      </c>
      <c r="C9" s="23">
        <v>41264</v>
      </c>
      <c r="D9" s="21">
        <f>ROUND(YEARFRAC(C9,$B$1)*12,0) + 1</f>
        <v>36</v>
      </c>
      <c r="E9" s="20">
        <f t="shared" si="1"/>
        <v>6896.3099999999986</v>
      </c>
      <c r="F9" s="14">
        <f>_xlfn.RANK.EQ(E9,$E$7:E$11,0)</f>
        <v>4</v>
      </c>
      <c r="H9" s="11"/>
    </row>
    <row r="10" spans="1:8" x14ac:dyDescent="0.25">
      <c r="A10" s="18" t="s">
        <v>12</v>
      </c>
      <c r="B10" s="21">
        <v>7770</v>
      </c>
      <c r="C10" s="23">
        <v>38841</v>
      </c>
      <c r="D10" s="21">
        <f t="shared" si="0"/>
        <v>115</v>
      </c>
      <c r="E10" s="20">
        <f t="shared" si="1"/>
        <v>34997.375</v>
      </c>
      <c r="F10" s="14">
        <f>_xlfn.RANK.EQ(E10,$E$7:E$11,0)</f>
        <v>1</v>
      </c>
    </row>
    <row r="11" spans="1:8" ht="15.1" thickBot="1" x14ac:dyDescent="0.3">
      <c r="A11" s="19" t="s">
        <v>13</v>
      </c>
      <c r="B11" s="22">
        <v>777</v>
      </c>
      <c r="C11" s="24">
        <v>41974</v>
      </c>
      <c r="D11" s="21">
        <f t="shared" si="0"/>
        <v>12</v>
      </c>
      <c r="E11" s="20">
        <f t="shared" si="1"/>
        <v>365.18999999999994</v>
      </c>
      <c r="F11" s="14">
        <f>_xlfn.RANK.EQ(E11,$E$7:E$11,0)</f>
        <v>5</v>
      </c>
    </row>
    <row r="12" spans="1:8" x14ac:dyDescent="0.25">
      <c r="A12" s="60" t="s">
        <v>14</v>
      </c>
      <c r="B12" s="61"/>
      <c r="C12" s="61"/>
      <c r="D12" s="62"/>
      <c r="E12" s="26">
        <f>SUM(E7:E11)</f>
        <v>64252.133333333331</v>
      </c>
      <c r="F12" s="14"/>
    </row>
    <row r="13" spans="1:8" x14ac:dyDescent="0.25">
      <c r="A13" s="63" t="s">
        <v>15</v>
      </c>
      <c r="B13" s="64"/>
      <c r="C13" s="64"/>
      <c r="D13" s="65"/>
      <c r="E13" s="27">
        <f>MIN(E7:E11)</f>
        <v>365.18999999999994</v>
      </c>
      <c r="F13" s="14"/>
    </row>
    <row r="14" spans="1:8" ht="15.1" thickBot="1" x14ac:dyDescent="0.3">
      <c r="A14" s="66" t="s">
        <v>16</v>
      </c>
      <c r="B14" s="67"/>
      <c r="C14" s="67"/>
      <c r="D14" s="68"/>
      <c r="E14" s="28">
        <f>MAX(E7:E11)</f>
        <v>34997.375</v>
      </c>
      <c r="F14" s="15"/>
    </row>
    <row r="16" spans="1:8" x14ac:dyDescent="0.25">
      <c r="B16" s="13"/>
      <c r="C16" s="13"/>
    </row>
    <row r="17" spans="2:3" x14ac:dyDescent="0.25">
      <c r="B17" s="13"/>
      <c r="C17" s="13"/>
    </row>
    <row r="18" spans="2:3" x14ac:dyDescent="0.25">
      <c r="B18" s="13"/>
      <c r="C18" s="13"/>
    </row>
    <row r="19" spans="2:3" x14ac:dyDescent="0.25">
      <c r="B19" s="13"/>
      <c r="C19" s="13"/>
    </row>
  </sheetData>
  <mergeCells count="4">
    <mergeCell ref="A4:F4"/>
    <mergeCell ref="A12:D12"/>
    <mergeCell ref="A13:D13"/>
    <mergeCell ref="A14:D14"/>
  </mergeCells>
  <conditionalFormatting sqref="E7:E11">
    <cfRule type="cellIs" dxfId="7" priority="1" operator="equal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paperSize="9" orientation="landscape" r:id="rId1"/>
  <headerFooter>
    <oddHeader>&amp;LКулаков Никита Васильевич&amp;CВариант 6&amp;R&amp;F</oddHeader>
    <oddFooter>&amp;R16.11.2020  21:25</oddFooter>
  </headerFooter>
  <ignoredErrors>
    <ignoredError sqref="D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A0DF5-C180-4270-A8E3-B1E7C6731093}">
  <sheetPr codeName="Лист1"/>
  <dimension ref="A1:C10"/>
  <sheetViews>
    <sheetView workbookViewId="0">
      <selection activeCell="F8" sqref="F8"/>
    </sheetView>
  </sheetViews>
  <sheetFormatPr defaultRowHeight="14.4" x14ac:dyDescent="0.25"/>
  <cols>
    <col min="2" max="2" width="24.625" bestFit="1" customWidth="1"/>
    <col min="3" max="3" width="13.5" bestFit="1" customWidth="1"/>
  </cols>
  <sheetData>
    <row r="1" spans="1:3" x14ac:dyDescent="0.25">
      <c r="A1" t="s">
        <v>17</v>
      </c>
      <c r="B1" t="s">
        <v>18</v>
      </c>
    </row>
    <row r="2" spans="1:3" ht="15.1" thickBot="1" x14ac:dyDescent="0.3"/>
    <row r="3" spans="1:3" ht="15.1" thickBot="1" x14ac:dyDescent="0.3">
      <c r="A3" s="73" t="s">
        <v>19</v>
      </c>
      <c r="B3" s="74"/>
      <c r="C3" s="34" t="s">
        <v>20</v>
      </c>
    </row>
    <row r="4" spans="1:3" x14ac:dyDescent="0.25">
      <c r="A4" s="75" t="s">
        <v>21</v>
      </c>
      <c r="B4" s="76"/>
      <c r="C4" s="3" t="s">
        <v>28</v>
      </c>
    </row>
    <row r="5" spans="1:3" x14ac:dyDescent="0.25">
      <c r="A5" s="69" t="s">
        <v>22</v>
      </c>
      <c r="B5" s="70"/>
      <c r="C5" s="5" t="s">
        <v>29</v>
      </c>
    </row>
    <row r="6" spans="1:3" x14ac:dyDescent="0.25">
      <c r="A6" s="69" t="s">
        <v>23</v>
      </c>
      <c r="B6" s="70"/>
      <c r="C6" s="5" t="s">
        <v>30</v>
      </c>
    </row>
    <row r="7" spans="1:3" x14ac:dyDescent="0.25">
      <c r="A7" s="69" t="s">
        <v>24</v>
      </c>
      <c r="B7" s="70"/>
      <c r="C7" s="35">
        <v>0.18</v>
      </c>
    </row>
    <row r="8" spans="1:3" x14ac:dyDescent="0.25">
      <c r="A8" s="69" t="s">
        <v>25</v>
      </c>
      <c r="B8" s="70"/>
      <c r="C8" s="35">
        <v>0.14000000000000001</v>
      </c>
    </row>
    <row r="9" spans="1:3" x14ac:dyDescent="0.25">
      <c r="A9" s="69" t="s">
        <v>26</v>
      </c>
      <c r="B9" s="70"/>
      <c r="C9" s="35">
        <v>0.13</v>
      </c>
    </row>
    <row r="10" spans="1:3" ht="15.1" thickBot="1" x14ac:dyDescent="0.3">
      <c r="A10" s="71" t="s">
        <v>27</v>
      </c>
      <c r="B10" s="72"/>
      <c r="C10" s="36">
        <v>0.2</v>
      </c>
    </row>
  </sheetData>
  <mergeCells count="8">
    <mergeCell ref="A8:B8"/>
    <mergeCell ref="A9:B9"/>
    <mergeCell ref="A10:B10"/>
    <mergeCell ref="A3:B3"/>
    <mergeCell ref="A4:B4"/>
    <mergeCell ref="A5:B5"/>
    <mergeCell ref="A6:B6"/>
    <mergeCell ref="A7:B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D6833-E6B8-4768-BC10-0A7E04F20462}">
  <sheetPr codeName="Лист2"/>
  <dimension ref="A1:I20"/>
  <sheetViews>
    <sheetView workbookViewId="0">
      <selection activeCell="F10" sqref="F10:F14"/>
    </sheetView>
  </sheetViews>
  <sheetFormatPr defaultRowHeight="14.4" x14ac:dyDescent="0.25"/>
  <cols>
    <col min="2" max="2" width="22.875" bestFit="1" customWidth="1"/>
    <col min="3" max="3" width="11.25" bestFit="1" customWidth="1"/>
    <col min="5" max="5" width="11.5" customWidth="1"/>
    <col min="6" max="6" width="13.125" customWidth="1"/>
    <col min="8" max="8" width="15.25" bestFit="1" customWidth="1"/>
    <col min="9" max="9" width="13.5" bestFit="1" customWidth="1"/>
  </cols>
  <sheetData>
    <row r="1" spans="1:9" x14ac:dyDescent="0.25">
      <c r="A1" t="s">
        <v>31</v>
      </c>
      <c r="B1" t="s">
        <v>32</v>
      </c>
    </row>
    <row r="3" spans="1:9" ht="15.1" thickBot="1" x14ac:dyDescent="0.3">
      <c r="A3" s="80" t="s">
        <v>33</v>
      </c>
      <c r="B3" s="80"/>
      <c r="C3" s="80"/>
      <c r="D3" s="80"/>
      <c r="E3" s="80"/>
      <c r="F3" s="80"/>
    </row>
    <row r="4" spans="1:9" ht="29.5" thickBot="1" x14ac:dyDescent="0.3">
      <c r="A4" s="30" t="s">
        <v>34</v>
      </c>
      <c r="B4" s="31" t="s">
        <v>35</v>
      </c>
      <c r="C4" s="31" t="s">
        <v>36</v>
      </c>
      <c r="D4" s="31" t="s">
        <v>37</v>
      </c>
      <c r="E4" s="39" t="s">
        <v>38</v>
      </c>
      <c r="F4" s="40" t="s">
        <v>39</v>
      </c>
    </row>
    <row r="5" spans="1:9" ht="16.5" x14ac:dyDescent="0.25">
      <c r="A5" s="33">
        <v>1</v>
      </c>
      <c r="B5" s="29" t="s">
        <v>40</v>
      </c>
      <c r="C5" s="29" t="s">
        <v>45</v>
      </c>
      <c r="D5" s="29">
        <v>30</v>
      </c>
      <c r="E5" s="29">
        <v>100</v>
      </c>
      <c r="F5" s="37">
        <f>PRODUCT(D5,E5)</f>
        <v>3000</v>
      </c>
    </row>
    <row r="6" spans="1:9" x14ac:dyDescent="0.25">
      <c r="A6" s="4">
        <v>2</v>
      </c>
      <c r="B6" s="1" t="s">
        <v>41</v>
      </c>
      <c r="C6" s="29" t="s">
        <v>46</v>
      </c>
      <c r="D6" s="1">
        <v>14</v>
      </c>
      <c r="E6" s="1">
        <v>600</v>
      </c>
      <c r="F6" s="37">
        <f t="shared" ref="F6:F9" si="0">PRODUCT(D6,E6)</f>
        <v>8400</v>
      </c>
    </row>
    <row r="7" spans="1:9" ht="16.5" x14ac:dyDescent="0.25">
      <c r="A7" s="4">
        <v>3</v>
      </c>
      <c r="B7" s="1" t="s">
        <v>42</v>
      </c>
      <c r="C7" s="29" t="s">
        <v>45</v>
      </c>
      <c r="D7" s="1">
        <v>40</v>
      </c>
      <c r="E7" s="1">
        <v>130</v>
      </c>
      <c r="F7" s="37">
        <f t="shared" si="0"/>
        <v>5200</v>
      </c>
    </row>
    <row r="8" spans="1:9" ht="16.5" x14ac:dyDescent="0.25">
      <c r="A8" s="4">
        <v>4</v>
      </c>
      <c r="B8" s="1" t="s">
        <v>43</v>
      </c>
      <c r="C8" s="29" t="s">
        <v>45</v>
      </c>
      <c r="D8" s="1">
        <v>40</v>
      </c>
      <c r="E8" s="1">
        <v>170</v>
      </c>
      <c r="F8" s="37">
        <f t="shared" si="0"/>
        <v>6800</v>
      </c>
    </row>
    <row r="9" spans="1:9" ht="17.149999999999999" thickBot="1" x14ac:dyDescent="0.3">
      <c r="A9" s="6">
        <v>5</v>
      </c>
      <c r="B9" s="7" t="s">
        <v>44</v>
      </c>
      <c r="C9" s="29" t="s">
        <v>45</v>
      </c>
      <c r="D9" s="7">
        <v>25</v>
      </c>
      <c r="E9" s="7">
        <v>80</v>
      </c>
      <c r="F9" s="37">
        <f t="shared" si="0"/>
        <v>2000</v>
      </c>
    </row>
    <row r="10" spans="1:9" ht="15.1" thickBot="1" x14ac:dyDescent="0.3">
      <c r="A10" s="78" t="s">
        <v>47</v>
      </c>
      <c r="B10" s="81"/>
      <c r="C10" s="31"/>
      <c r="D10" s="31"/>
      <c r="E10" s="31"/>
      <c r="F10" s="32">
        <f>SUM(F5:F9)</f>
        <v>25400</v>
      </c>
      <c r="H10" t="s">
        <v>54</v>
      </c>
      <c r="I10" t="str">
        <f>REPT(Справочник!C6,1)</f>
        <v>Кудрин В.В.</v>
      </c>
    </row>
    <row r="11" spans="1:9" x14ac:dyDescent="0.25">
      <c r="A11" s="82" t="s">
        <v>48</v>
      </c>
      <c r="B11" s="83"/>
      <c r="C11" s="2" t="s">
        <v>52</v>
      </c>
      <c r="D11" s="29"/>
      <c r="E11" s="29"/>
      <c r="F11" s="37">
        <f>PRODUCT($F$10,Справочник!C8)</f>
        <v>3556.0000000000005</v>
      </c>
      <c r="H11" t="s">
        <v>55</v>
      </c>
      <c r="I11" t="str">
        <f>REPT(Справочник!C5,1)</f>
        <v>Семёнова А.Н.</v>
      </c>
    </row>
    <row r="12" spans="1:9" x14ac:dyDescent="0.25">
      <c r="A12" s="84" t="s">
        <v>49</v>
      </c>
      <c r="B12" s="84"/>
      <c r="C12" s="41" t="s">
        <v>52</v>
      </c>
      <c r="D12" s="1"/>
      <c r="E12" s="1"/>
      <c r="F12" s="5">
        <f>PRODUCT(Расчет!F10,Справочник!C7)</f>
        <v>4572</v>
      </c>
      <c r="H12" t="s">
        <v>56</v>
      </c>
      <c r="I12" s="16">
        <v>42762</v>
      </c>
    </row>
    <row r="13" spans="1:9" x14ac:dyDescent="0.25">
      <c r="A13" s="84" t="s">
        <v>50</v>
      </c>
      <c r="B13" s="84"/>
      <c r="C13" s="41" t="s">
        <v>52</v>
      </c>
      <c r="D13" s="1"/>
      <c r="E13" s="1"/>
      <c r="F13" s="5">
        <f>PRODUCT(F10,Справочник!C9)</f>
        <v>3302</v>
      </c>
    </row>
    <row r="14" spans="1:9" ht="15.1" thickBot="1" x14ac:dyDescent="0.3">
      <c r="A14" s="77" t="s">
        <v>51</v>
      </c>
      <c r="B14" s="77"/>
      <c r="C14" s="42" t="s">
        <v>52</v>
      </c>
      <c r="D14" s="7"/>
      <c r="E14" s="7"/>
      <c r="F14" s="8">
        <f>PRODUCT(F10,Справочник!C10)</f>
        <v>5080</v>
      </c>
    </row>
    <row r="15" spans="1:9" ht="15.1" thickBot="1" x14ac:dyDescent="0.3">
      <c r="A15" s="78" t="s">
        <v>53</v>
      </c>
      <c r="B15" s="79"/>
      <c r="C15" s="31"/>
      <c r="D15" s="31"/>
      <c r="E15" s="31"/>
      <c r="F15" s="32">
        <f>SUM(F10:F14)</f>
        <v>41910</v>
      </c>
    </row>
    <row r="20" spans="4:4" x14ac:dyDescent="0.25">
      <c r="D20" s="38"/>
    </row>
  </sheetData>
  <mergeCells count="7">
    <mergeCell ref="A14:B14"/>
    <mergeCell ref="A15:B15"/>
    <mergeCell ref="A3:F3"/>
    <mergeCell ref="A10:B10"/>
    <mergeCell ref="A11:B11"/>
    <mergeCell ref="A12:B12"/>
    <mergeCell ref="A13:B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3501-A58C-432F-BDA6-8F0F77DBC31E}">
  <sheetPr codeName="Лист3"/>
  <dimension ref="A1:B1"/>
  <sheetViews>
    <sheetView workbookViewId="0">
      <selection activeCell="K30" sqref="K30"/>
    </sheetView>
  </sheetViews>
  <sheetFormatPr defaultRowHeight="14.4" x14ac:dyDescent="0.25"/>
  <cols>
    <col min="2" max="2" width="10.75" bestFit="1" customWidth="1"/>
    <col min="3" max="3" width="8.5" customWidth="1"/>
  </cols>
  <sheetData>
    <row r="1" spans="1:2" x14ac:dyDescent="0.25">
      <c r="A1" t="s">
        <v>57</v>
      </c>
      <c r="B1" t="s">
        <v>58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4255F-2E82-4754-918D-5253877E0EDA}">
  <sheetPr codeName="Лист4"/>
  <dimension ref="A1:J17"/>
  <sheetViews>
    <sheetView workbookViewId="0">
      <selection activeCell="G25" sqref="G25"/>
    </sheetView>
  </sheetViews>
  <sheetFormatPr defaultRowHeight="14.4" x14ac:dyDescent="0.25"/>
  <cols>
    <col min="1" max="1" width="6.125" bestFit="1" customWidth="1"/>
    <col min="2" max="2" width="15.25" bestFit="1" customWidth="1"/>
    <col min="3" max="3" width="4.625" customWidth="1"/>
    <col min="4" max="4" width="9.125" bestFit="1" customWidth="1"/>
    <col min="5" max="5" width="6.25" bestFit="1" customWidth="1"/>
    <col min="6" max="6" width="10.75" bestFit="1" customWidth="1"/>
    <col min="7" max="7" width="13.375" bestFit="1" customWidth="1"/>
    <col min="8" max="8" width="18.375" bestFit="1" customWidth="1"/>
    <col min="9" max="9" width="8.125" bestFit="1" customWidth="1"/>
    <col min="10" max="10" width="5.25" bestFit="1" customWidth="1"/>
  </cols>
  <sheetData>
    <row r="1" spans="1:10" ht="15.1" thickBot="1" x14ac:dyDescent="0.3">
      <c r="A1" s="46" t="s">
        <v>59</v>
      </c>
      <c r="B1" s="47" t="s">
        <v>60</v>
      </c>
      <c r="C1" s="47" t="s">
        <v>61</v>
      </c>
      <c r="D1" s="47" t="s">
        <v>62</v>
      </c>
      <c r="E1" s="47" t="s">
        <v>63</v>
      </c>
      <c r="F1" s="47" t="s">
        <v>64</v>
      </c>
      <c r="G1" s="47" t="s">
        <v>65</v>
      </c>
      <c r="H1" s="47" t="s">
        <v>66</v>
      </c>
      <c r="I1" s="47" t="s">
        <v>67</v>
      </c>
      <c r="J1" s="48" t="s">
        <v>68</v>
      </c>
    </row>
    <row r="2" spans="1:10" x14ac:dyDescent="0.25">
      <c r="A2" s="49">
        <v>1</v>
      </c>
      <c r="B2" s="45" t="s">
        <v>69</v>
      </c>
      <c r="C2" s="45">
        <v>30</v>
      </c>
      <c r="D2" s="45">
        <v>22</v>
      </c>
      <c r="E2" s="45">
        <v>5</v>
      </c>
      <c r="F2" s="45">
        <v>3</v>
      </c>
      <c r="G2" s="45">
        <v>63</v>
      </c>
      <c r="H2" s="45">
        <v>21</v>
      </c>
      <c r="I2" s="45">
        <f>G2-H2</f>
        <v>42</v>
      </c>
      <c r="J2" s="50">
        <f>D2*3+E2</f>
        <v>71</v>
      </c>
    </row>
    <row r="3" spans="1:10" x14ac:dyDescent="0.25">
      <c r="A3" s="51">
        <v>2</v>
      </c>
      <c r="B3" s="44" t="s">
        <v>70</v>
      </c>
      <c r="C3" s="44">
        <v>30</v>
      </c>
      <c r="D3" s="44">
        <v>20</v>
      </c>
      <c r="E3" s="44">
        <v>5</v>
      </c>
      <c r="F3" s="44">
        <v>5</v>
      </c>
      <c r="G3" s="44">
        <v>52</v>
      </c>
      <c r="H3" s="44">
        <v>23</v>
      </c>
      <c r="I3" s="45">
        <f t="shared" ref="I3:I17" si="0">G3-H3</f>
        <v>29</v>
      </c>
      <c r="J3" s="50">
        <f t="shared" ref="J3:J17" si="1">D3*3+E3</f>
        <v>65</v>
      </c>
    </row>
    <row r="4" spans="1:10" x14ac:dyDescent="0.25">
      <c r="A4" s="51">
        <v>3</v>
      </c>
      <c r="B4" s="44" t="s">
        <v>71</v>
      </c>
      <c r="C4" s="44">
        <v>30</v>
      </c>
      <c r="D4" s="44">
        <v>19</v>
      </c>
      <c r="E4" s="44">
        <v>6</v>
      </c>
      <c r="F4" s="44">
        <v>5</v>
      </c>
      <c r="G4" s="44">
        <v>76</v>
      </c>
      <c r="H4" s="44">
        <v>26</v>
      </c>
      <c r="I4" s="45">
        <f t="shared" si="0"/>
        <v>50</v>
      </c>
      <c r="J4" s="50">
        <f t="shared" si="1"/>
        <v>63</v>
      </c>
    </row>
    <row r="5" spans="1:10" x14ac:dyDescent="0.25">
      <c r="A5" s="51">
        <v>4</v>
      </c>
      <c r="B5" s="44" t="s">
        <v>72</v>
      </c>
      <c r="C5" s="44">
        <v>30</v>
      </c>
      <c r="D5" s="44">
        <v>16</v>
      </c>
      <c r="E5" s="44">
        <v>8</v>
      </c>
      <c r="F5" s="44">
        <v>6</v>
      </c>
      <c r="G5" s="44">
        <v>45</v>
      </c>
      <c r="H5" s="44">
        <v>29</v>
      </c>
      <c r="I5" s="45">
        <f t="shared" si="0"/>
        <v>16</v>
      </c>
      <c r="J5" s="50">
        <f t="shared" si="1"/>
        <v>56</v>
      </c>
    </row>
    <row r="6" spans="1:10" x14ac:dyDescent="0.25">
      <c r="A6" s="51">
        <v>5</v>
      </c>
      <c r="B6" s="44" t="s">
        <v>73</v>
      </c>
      <c r="C6" s="44">
        <v>30</v>
      </c>
      <c r="D6" s="44">
        <v>16</v>
      </c>
      <c r="E6" s="44">
        <v>7</v>
      </c>
      <c r="F6" s="44">
        <v>7</v>
      </c>
      <c r="G6" s="44">
        <v>40</v>
      </c>
      <c r="H6" s="44">
        <v>30</v>
      </c>
      <c r="I6" s="45">
        <f t="shared" si="0"/>
        <v>10</v>
      </c>
      <c r="J6" s="50">
        <f t="shared" si="1"/>
        <v>55</v>
      </c>
    </row>
    <row r="7" spans="1:10" x14ac:dyDescent="0.25">
      <c r="A7" s="51">
        <v>6</v>
      </c>
      <c r="B7" s="44" t="s">
        <v>74</v>
      </c>
      <c r="C7" s="44">
        <v>30</v>
      </c>
      <c r="D7" s="44">
        <v>16</v>
      </c>
      <c r="E7" s="44">
        <v>5</v>
      </c>
      <c r="F7" s="44">
        <v>9</v>
      </c>
      <c r="G7" s="44">
        <v>56</v>
      </c>
      <c r="H7" s="44">
        <v>34</v>
      </c>
      <c r="I7" s="45">
        <f t="shared" si="0"/>
        <v>22</v>
      </c>
      <c r="J7" s="50">
        <f t="shared" si="1"/>
        <v>53</v>
      </c>
    </row>
    <row r="8" spans="1:10" x14ac:dyDescent="0.25">
      <c r="A8" s="51">
        <v>7</v>
      </c>
      <c r="B8" s="44" t="s">
        <v>75</v>
      </c>
      <c r="C8" s="44">
        <v>30</v>
      </c>
      <c r="D8" s="44">
        <v>11</v>
      </c>
      <c r="E8" s="44">
        <v>7</v>
      </c>
      <c r="F8" s="44">
        <v>12</v>
      </c>
      <c r="G8" s="44">
        <v>62</v>
      </c>
      <c r="H8" s="44">
        <v>49</v>
      </c>
      <c r="I8" s="45">
        <f t="shared" si="0"/>
        <v>13</v>
      </c>
      <c r="J8" s="50">
        <f t="shared" si="1"/>
        <v>40</v>
      </c>
    </row>
    <row r="9" spans="1:10" x14ac:dyDescent="0.25">
      <c r="A9" s="51">
        <v>8</v>
      </c>
      <c r="B9" s="44" t="s">
        <v>76</v>
      </c>
      <c r="C9" s="44">
        <v>30</v>
      </c>
      <c r="D9" s="44">
        <v>12</v>
      </c>
      <c r="E9" s="44">
        <v>3</v>
      </c>
      <c r="F9" s="44">
        <v>15</v>
      </c>
      <c r="G9" s="44">
        <v>43</v>
      </c>
      <c r="H9" s="44">
        <v>47</v>
      </c>
      <c r="I9" s="45">
        <f t="shared" si="0"/>
        <v>-4</v>
      </c>
      <c r="J9" s="50">
        <f t="shared" si="1"/>
        <v>39</v>
      </c>
    </row>
    <row r="10" spans="1:10" x14ac:dyDescent="0.25">
      <c r="A10" s="51">
        <v>9</v>
      </c>
      <c r="B10" s="44" t="s">
        <v>77</v>
      </c>
      <c r="C10" s="44">
        <v>30</v>
      </c>
      <c r="D10" s="44">
        <v>10</v>
      </c>
      <c r="E10" s="44">
        <v>8</v>
      </c>
      <c r="F10" s="44">
        <v>12</v>
      </c>
      <c r="G10" s="44">
        <v>34</v>
      </c>
      <c r="H10" s="44">
        <v>30</v>
      </c>
      <c r="I10" s="45">
        <f t="shared" si="0"/>
        <v>4</v>
      </c>
      <c r="J10" s="50">
        <f t="shared" si="1"/>
        <v>38</v>
      </c>
    </row>
    <row r="11" spans="1:10" x14ac:dyDescent="0.25">
      <c r="A11" s="51">
        <v>10</v>
      </c>
      <c r="B11" s="44" t="s">
        <v>78</v>
      </c>
      <c r="C11" s="44">
        <v>30</v>
      </c>
      <c r="D11" s="44">
        <v>9</v>
      </c>
      <c r="E11" s="44">
        <v>7</v>
      </c>
      <c r="F11" s="44">
        <v>14</v>
      </c>
      <c r="G11" s="44">
        <v>37</v>
      </c>
      <c r="H11" s="44">
        <v>41</v>
      </c>
      <c r="I11" s="45">
        <f t="shared" si="0"/>
        <v>-4</v>
      </c>
      <c r="J11" s="50">
        <f t="shared" si="1"/>
        <v>34</v>
      </c>
    </row>
    <row r="12" spans="1:10" x14ac:dyDescent="0.25">
      <c r="A12" s="51">
        <v>11</v>
      </c>
      <c r="B12" s="44" t="s">
        <v>79</v>
      </c>
      <c r="C12" s="44">
        <v>30</v>
      </c>
      <c r="D12" s="44">
        <v>10</v>
      </c>
      <c r="E12" s="44">
        <v>2</v>
      </c>
      <c r="F12" s="44">
        <v>18</v>
      </c>
      <c r="G12" s="44">
        <v>32</v>
      </c>
      <c r="H12" s="44">
        <v>62</v>
      </c>
      <c r="I12" s="45">
        <f t="shared" si="0"/>
        <v>-30</v>
      </c>
      <c r="J12" s="50">
        <f t="shared" si="1"/>
        <v>32</v>
      </c>
    </row>
    <row r="13" spans="1:10" x14ac:dyDescent="0.25">
      <c r="A13" s="51">
        <v>12</v>
      </c>
      <c r="B13" s="44" t="s">
        <v>80</v>
      </c>
      <c r="C13" s="44">
        <v>30</v>
      </c>
      <c r="D13" s="44">
        <v>6</v>
      </c>
      <c r="E13" s="44">
        <v>11</v>
      </c>
      <c r="F13" s="44">
        <v>13</v>
      </c>
      <c r="G13" s="44">
        <v>28</v>
      </c>
      <c r="H13" s="44">
        <v>42</v>
      </c>
      <c r="I13" s="45">
        <f t="shared" si="0"/>
        <v>-14</v>
      </c>
      <c r="J13" s="50">
        <f t="shared" si="1"/>
        <v>29</v>
      </c>
    </row>
    <row r="14" spans="1:10" x14ac:dyDescent="0.25">
      <c r="A14" s="51">
        <v>13</v>
      </c>
      <c r="B14" s="44" t="s">
        <v>81</v>
      </c>
      <c r="C14" s="44">
        <v>30</v>
      </c>
      <c r="D14" s="44">
        <v>8</v>
      </c>
      <c r="E14" s="44">
        <v>4</v>
      </c>
      <c r="F14" s="44">
        <v>18</v>
      </c>
      <c r="G14" s="44">
        <v>35</v>
      </c>
      <c r="H14" s="44">
        <v>56</v>
      </c>
      <c r="I14" s="45">
        <f t="shared" si="0"/>
        <v>-21</v>
      </c>
      <c r="J14" s="50">
        <f t="shared" si="1"/>
        <v>28</v>
      </c>
    </row>
    <row r="15" spans="1:10" x14ac:dyDescent="0.25">
      <c r="A15" s="51">
        <v>14</v>
      </c>
      <c r="B15" s="44" t="s">
        <v>82</v>
      </c>
      <c r="C15" s="44">
        <v>30</v>
      </c>
      <c r="D15" s="44">
        <v>8</v>
      </c>
      <c r="E15" s="44">
        <v>4</v>
      </c>
      <c r="F15" s="44">
        <v>18</v>
      </c>
      <c r="G15" s="44">
        <v>36</v>
      </c>
      <c r="H15" s="44">
        <v>69</v>
      </c>
      <c r="I15" s="45">
        <f t="shared" si="0"/>
        <v>-33</v>
      </c>
      <c r="J15" s="50">
        <f t="shared" si="1"/>
        <v>28</v>
      </c>
    </row>
    <row r="16" spans="1:10" x14ac:dyDescent="0.25">
      <c r="A16" s="51">
        <v>15</v>
      </c>
      <c r="B16" s="44" t="s">
        <v>83</v>
      </c>
      <c r="C16" s="44">
        <v>30</v>
      </c>
      <c r="D16" s="44">
        <v>6</v>
      </c>
      <c r="E16" s="44">
        <v>8</v>
      </c>
      <c r="F16" s="44">
        <v>16</v>
      </c>
      <c r="G16" s="44">
        <v>34</v>
      </c>
      <c r="H16" s="44">
        <v>65</v>
      </c>
      <c r="I16" s="45">
        <f t="shared" si="0"/>
        <v>-31</v>
      </c>
      <c r="J16" s="50">
        <f t="shared" si="1"/>
        <v>26</v>
      </c>
    </row>
    <row r="17" spans="1:10" ht="15.1" thickBot="1" x14ac:dyDescent="0.3">
      <c r="A17" s="52">
        <v>16</v>
      </c>
      <c r="B17" s="53" t="s">
        <v>84</v>
      </c>
      <c r="C17" s="53">
        <v>30</v>
      </c>
      <c r="D17" s="53">
        <v>3</v>
      </c>
      <c r="E17" s="53">
        <v>6</v>
      </c>
      <c r="F17" s="53">
        <v>21</v>
      </c>
      <c r="G17" s="53">
        <v>28</v>
      </c>
      <c r="H17" s="53">
        <v>77</v>
      </c>
      <c r="I17" s="53">
        <f t="shared" si="0"/>
        <v>-49</v>
      </c>
      <c r="J17" s="54">
        <f t="shared" si="1"/>
        <v>15</v>
      </c>
    </row>
  </sheetData>
  <conditionalFormatting sqref="J2:J1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{EC8FB03F-38DC-469B-94D0-13D020475464}</x14:id>
        </ext>
      </extLst>
    </cfRule>
  </conditionalFormatting>
  <conditionalFormatting sqref="I2:I17">
    <cfRule type="cellIs" dxfId="5" priority="11" operator="equal">
      <formula>0</formula>
    </cfRule>
    <cfRule type="top10" dxfId="4" priority="12" rank="3"/>
    <cfRule type="top10" dxfId="3" priority="13" bottom="1" rank="3"/>
    <cfRule type="top10" dxfId="2" priority="14" rank="3"/>
    <cfRule type="top10" dxfId="1" priority="15" rank="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8FB03F-38DC-469B-94D0-13D0204754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  <x14:conditionalFormatting xmlns:xm="http://schemas.microsoft.com/office/excel/2006/main">
          <x14:cfRule type="iconSet" priority="5" id="{B8E387AD-5909-4006-9AE3-391EC03D8CFF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formula">
                <xm:f>LARGE($D$2:$D$17,1)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2" id="{9766A8EF-FE54-44EF-9A06-24364821D21E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formula">
                <xm:f>LARGE($E$2:$E$17,1)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1" id="{FD028CA0-2934-4DB7-8E93-67F61FA52768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formula">
                <xm:f>LARGE($F$2:$F$17,1)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AFC57-2361-4D57-B55B-32C81C687B77}">
  <sheetPr codeName="Лист5"/>
  <dimension ref="A1:C17"/>
  <sheetViews>
    <sheetView workbookViewId="0">
      <selection activeCell="E19" sqref="E19"/>
    </sheetView>
  </sheetViews>
  <sheetFormatPr defaultRowHeight="14.4" x14ac:dyDescent="0.25"/>
  <cols>
    <col min="1" max="1" width="23.25" bestFit="1" customWidth="1"/>
    <col min="2" max="2" width="13.875" bestFit="1" customWidth="1"/>
    <col min="3" max="3" width="13.75" bestFit="1" customWidth="1"/>
  </cols>
  <sheetData>
    <row r="1" spans="1:3" x14ac:dyDescent="0.25">
      <c r="A1" t="s">
        <v>85</v>
      </c>
    </row>
    <row r="2" spans="1:3" x14ac:dyDescent="0.25">
      <c r="A2" s="55" t="s">
        <v>86</v>
      </c>
      <c r="B2" s="55" t="s">
        <v>87</v>
      </c>
      <c r="C2" s="55" t="s">
        <v>88</v>
      </c>
    </row>
    <row r="3" spans="1:3" x14ac:dyDescent="0.25">
      <c r="A3" s="1" t="s">
        <v>89</v>
      </c>
      <c r="B3" s="1">
        <v>5</v>
      </c>
      <c r="C3" s="57">
        <f>IFERROR((VLOOKUP(A3,'Вкладка 2'!A$2:B$14,2,FALSE) * B3), "Нет на рынке")</f>
        <v>150</v>
      </c>
    </row>
    <row r="4" spans="1:3" x14ac:dyDescent="0.25">
      <c r="A4" s="1" t="s">
        <v>90</v>
      </c>
      <c r="B4" s="1">
        <v>10</v>
      </c>
      <c r="C4" s="57" t="str">
        <f>IFERROR((VLOOKUP(A4,'Вкладка 2'!A$2:B$14,2,FALSE) * B4), "Нет на рынке")</f>
        <v>Нет на рынке</v>
      </c>
    </row>
    <row r="5" spans="1:3" x14ac:dyDescent="0.25">
      <c r="A5" s="1" t="s">
        <v>91</v>
      </c>
      <c r="B5" s="1">
        <v>3</v>
      </c>
      <c r="C5" s="57">
        <f>IFERROR((VLOOKUP(A5,'Вкладка 2'!A$2:B$14,2,FALSE) * B5), "Нет на рынке")</f>
        <v>900</v>
      </c>
    </row>
    <row r="6" spans="1:3" x14ac:dyDescent="0.25">
      <c r="A6" s="1" t="s">
        <v>92</v>
      </c>
      <c r="B6" s="1">
        <v>23</v>
      </c>
      <c r="C6" s="57">
        <f>IFERROR((VLOOKUP(A6,'Вкладка 2'!A$2:B$14,2,FALSE) * B6), "Нет на рынке")</f>
        <v>345</v>
      </c>
    </row>
    <row r="7" spans="1:3" x14ac:dyDescent="0.25">
      <c r="A7" s="1" t="s">
        <v>93</v>
      </c>
      <c r="B7" s="1">
        <v>6</v>
      </c>
      <c r="C7" s="57">
        <f>IFERROR((VLOOKUP(A7,'Вкладка 2'!A$2:B$14,2,FALSE) * B7), "Нет на рынке")</f>
        <v>150</v>
      </c>
    </row>
    <row r="8" spans="1:3" x14ac:dyDescent="0.25">
      <c r="A8" s="1" t="s">
        <v>94</v>
      </c>
      <c r="B8" s="1">
        <v>11</v>
      </c>
      <c r="C8" s="57">
        <f>IFERROR((VLOOKUP(A8,'Вкладка 2'!A$2:B$14,2,FALSE) * B8), "Нет на рынке")</f>
        <v>880</v>
      </c>
    </row>
    <row r="9" spans="1:3" x14ac:dyDescent="0.25">
      <c r="A9" s="1" t="s">
        <v>95</v>
      </c>
      <c r="B9" s="1">
        <v>11</v>
      </c>
      <c r="C9" s="57">
        <f>IFERROR((VLOOKUP(A9,'Вкладка 2'!A$2:B$14,2,FALSE) * B9), "Нет на рынке")</f>
        <v>1045</v>
      </c>
    </row>
    <row r="10" spans="1:3" x14ac:dyDescent="0.25">
      <c r="A10" s="1" t="s">
        <v>96</v>
      </c>
      <c r="B10" s="1">
        <v>9</v>
      </c>
      <c r="C10" s="57" t="str">
        <f>IFERROR((VLOOKUP(A10,'Вкладка 2'!A$2:B$14,2,FALSE) * B10), "Нет на рынке")</f>
        <v>Нет на рынке</v>
      </c>
    </row>
    <row r="11" spans="1:3" x14ac:dyDescent="0.25">
      <c r="A11" s="1" t="s">
        <v>97</v>
      </c>
      <c r="B11" s="1">
        <v>7</v>
      </c>
      <c r="C11" s="57">
        <f>IFERROR((VLOOKUP(A11,'Вкладка 2'!A$2:B$14,2,FALSE) * B11), "Нет на рынке")</f>
        <v>157.5</v>
      </c>
    </row>
    <row r="12" spans="1:3" x14ac:dyDescent="0.25">
      <c r="A12" s="1" t="s">
        <v>98</v>
      </c>
      <c r="B12" s="1">
        <v>2</v>
      </c>
      <c r="C12" s="57">
        <f>IFERROR((VLOOKUP(A12,'Вкладка 2'!A$2:B$14,2,FALSE) * B12), "Нет на рынке")</f>
        <v>800</v>
      </c>
    </row>
    <row r="13" spans="1:3" x14ac:dyDescent="0.25">
      <c r="A13" s="1" t="s">
        <v>99</v>
      </c>
      <c r="B13" s="1">
        <v>6.5</v>
      </c>
      <c r="C13" s="57">
        <f>IFERROR((VLOOKUP(A13,'Вкладка 2'!A$2:B$14,2,FALSE) * B13), "Нет на рынке")</f>
        <v>2210</v>
      </c>
    </row>
    <row r="14" spans="1:3" x14ac:dyDescent="0.25">
      <c r="A14" s="1" t="s">
        <v>100</v>
      </c>
      <c r="B14" s="1">
        <v>1</v>
      </c>
      <c r="C14" s="57">
        <f>IFERROR((VLOOKUP(A14,'Вкладка 2'!A$2:B$14,2,FALSE) * B14), "Нет на рынке")</f>
        <v>515</v>
      </c>
    </row>
    <row r="15" spans="1:3" x14ac:dyDescent="0.25">
      <c r="A15" s="1" t="s">
        <v>101</v>
      </c>
      <c r="B15" s="1">
        <v>0.5</v>
      </c>
      <c r="C15" s="57" t="str">
        <f>IFERROR((VLOOKUP(A15,'Вкладка 2'!A$2:B$14,2,FALSE) * B15), "Нет на рынке")</f>
        <v>Нет на рынке</v>
      </c>
    </row>
    <row r="16" spans="1:3" x14ac:dyDescent="0.25">
      <c r="A16" s="1" t="s">
        <v>102</v>
      </c>
      <c r="B16" s="1">
        <v>0.5</v>
      </c>
      <c r="C16" s="57">
        <f>IFERROR((VLOOKUP(A16,'Вкладка 2'!A$2:B$14,2,FALSE) * B16), "Нет на рынке")</f>
        <v>400</v>
      </c>
    </row>
    <row r="17" spans="2:3" ht="15.8" x14ac:dyDescent="0.3">
      <c r="B17" s="43" t="s">
        <v>103</v>
      </c>
      <c r="C17" s="56">
        <f>SUM(C3:C16)</f>
        <v>7552.5</v>
      </c>
    </row>
  </sheetData>
  <conditionalFormatting sqref="C3:C16">
    <cfRule type="cellIs" dxfId="0" priority="1" operator="equal">
      <formula>"Нет на рынке"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75A31-8E4C-4A94-86B8-20DE53FF77F2}">
  <sheetPr codeName="Лист83"/>
  <dimension ref="A1:B14"/>
  <sheetViews>
    <sheetView workbookViewId="0">
      <selection activeCell="B32" sqref="B32"/>
    </sheetView>
  </sheetViews>
  <sheetFormatPr defaultRowHeight="14.4" x14ac:dyDescent="0.25"/>
  <cols>
    <col min="1" max="1" width="32.25" bestFit="1" customWidth="1"/>
    <col min="2" max="2" width="13.75" bestFit="1" customWidth="1"/>
  </cols>
  <sheetData>
    <row r="1" spans="1:2" x14ac:dyDescent="0.25">
      <c r="A1" t="s">
        <v>104</v>
      </c>
    </row>
    <row r="2" spans="1:2" x14ac:dyDescent="0.25">
      <c r="A2" s="55" t="s">
        <v>106</v>
      </c>
      <c r="B2" s="55" t="s">
        <v>105</v>
      </c>
    </row>
    <row r="3" spans="1:2" x14ac:dyDescent="0.25">
      <c r="A3" s="1" t="s">
        <v>89</v>
      </c>
      <c r="B3" s="1">
        <v>30</v>
      </c>
    </row>
    <row r="4" spans="1:2" x14ac:dyDescent="0.25">
      <c r="A4" s="1" t="s">
        <v>91</v>
      </c>
      <c r="B4" s="1">
        <v>300</v>
      </c>
    </row>
    <row r="5" spans="1:2" x14ac:dyDescent="0.25">
      <c r="A5" s="1" t="s">
        <v>92</v>
      </c>
      <c r="B5" s="1">
        <v>15</v>
      </c>
    </row>
    <row r="6" spans="1:2" x14ac:dyDescent="0.25">
      <c r="A6" s="1" t="s">
        <v>94</v>
      </c>
      <c r="B6" s="1">
        <v>80</v>
      </c>
    </row>
    <row r="7" spans="1:2" x14ac:dyDescent="0.25">
      <c r="A7" s="1" t="s">
        <v>95</v>
      </c>
      <c r="B7" s="1">
        <v>95</v>
      </c>
    </row>
    <row r="8" spans="1:2" x14ac:dyDescent="0.25">
      <c r="A8" s="1" t="s">
        <v>97</v>
      </c>
      <c r="B8" s="1">
        <v>22.5</v>
      </c>
    </row>
    <row r="9" spans="1:2" x14ac:dyDescent="0.25">
      <c r="A9" s="1" t="s">
        <v>107</v>
      </c>
      <c r="B9" s="1">
        <v>45</v>
      </c>
    </row>
    <row r="10" spans="1:2" x14ac:dyDescent="0.25">
      <c r="A10" s="1" t="s">
        <v>99</v>
      </c>
      <c r="B10" s="1">
        <v>340</v>
      </c>
    </row>
    <row r="11" spans="1:2" x14ac:dyDescent="0.25">
      <c r="A11" s="1" t="s">
        <v>93</v>
      </c>
      <c r="B11" s="1">
        <v>25</v>
      </c>
    </row>
    <row r="12" spans="1:2" x14ac:dyDescent="0.25">
      <c r="A12" s="1" t="s">
        <v>102</v>
      </c>
      <c r="B12" s="1">
        <v>800</v>
      </c>
    </row>
    <row r="13" spans="1:2" x14ac:dyDescent="0.25">
      <c r="A13" s="1" t="s">
        <v>100</v>
      </c>
      <c r="B13" s="1">
        <v>515</v>
      </c>
    </row>
    <row r="14" spans="1:2" x14ac:dyDescent="0.25">
      <c r="A14" s="1" t="s">
        <v>98</v>
      </c>
      <c r="B14" s="1">
        <v>400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C92E-0085-4AE9-A99D-58FDFF9DA08E}">
  <sheetPr codeName="Лист6"/>
  <dimension ref="A1"/>
  <sheetViews>
    <sheetView workbookViewId="0"/>
  </sheetViews>
  <sheetFormatPr defaultRowHeight="14.4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7B910-D0EF-4FB5-8CC8-21719CC5186A}">
  <sheetPr codeName="Лист7"/>
  <dimension ref="A1:E6"/>
  <sheetViews>
    <sheetView workbookViewId="0"/>
  </sheetViews>
  <sheetFormatPr defaultRowHeight="14.4" x14ac:dyDescent="0.25"/>
  <cols>
    <col min="1" max="1" width="15.875" customWidth="1"/>
    <col min="2" max="2" width="17.375" style="89" customWidth="1"/>
    <col min="3" max="3" width="16.375" style="89" customWidth="1"/>
    <col min="4" max="5" width="19.375" style="86" customWidth="1"/>
  </cols>
  <sheetData>
    <row r="1" spans="1:5" x14ac:dyDescent="0.25">
      <c r="A1" s="55" t="s">
        <v>108</v>
      </c>
      <c r="B1" s="87" t="s">
        <v>109</v>
      </c>
      <c r="C1" s="87" t="s">
        <v>110</v>
      </c>
      <c r="D1" s="85" t="s">
        <v>111</v>
      </c>
      <c r="E1" s="85" t="s">
        <v>112</v>
      </c>
    </row>
    <row r="2" spans="1:5" x14ac:dyDescent="0.25">
      <c r="A2" s="1" t="s">
        <v>113</v>
      </c>
      <c r="B2" s="88">
        <v>44125</v>
      </c>
      <c r="C2" s="88">
        <v>44130</v>
      </c>
      <c r="D2" s="57" t="s">
        <v>115</v>
      </c>
      <c r="E2" s="57"/>
    </row>
    <row r="3" spans="1:5" x14ac:dyDescent="0.25">
      <c r="A3" s="1" t="s">
        <v>114</v>
      </c>
      <c r="B3" s="88">
        <v>44132</v>
      </c>
      <c r="C3" s="88">
        <v>44137</v>
      </c>
      <c r="D3" s="57" t="s">
        <v>118</v>
      </c>
      <c r="E3" s="57" t="s">
        <v>117</v>
      </c>
    </row>
    <row r="4" spans="1:5" x14ac:dyDescent="0.25">
      <c r="A4" s="1" t="s">
        <v>116</v>
      </c>
      <c r="B4" s="88">
        <v>44139</v>
      </c>
      <c r="C4" s="88">
        <v>44144</v>
      </c>
      <c r="D4" s="57" t="s">
        <v>115</v>
      </c>
      <c r="E4" s="57"/>
    </row>
    <row r="5" spans="1:5" x14ac:dyDescent="0.25">
      <c r="A5" s="1" t="s">
        <v>119</v>
      </c>
      <c r="B5" s="88">
        <v>44146</v>
      </c>
      <c r="C5" s="88">
        <v>44151</v>
      </c>
      <c r="D5" s="57" t="s">
        <v>115</v>
      </c>
      <c r="E5" s="57"/>
    </row>
    <row r="6" spans="1:5" x14ac:dyDescent="0.25">
      <c r="A6" s="1" t="s">
        <v>120</v>
      </c>
      <c r="B6" s="88">
        <v>44153</v>
      </c>
      <c r="C6" s="88">
        <v>44158</v>
      </c>
      <c r="D6" s="57" t="s">
        <v>115</v>
      </c>
      <c r="E6" s="5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41F07-4B5B-409D-BD88-9B226AA1D755}">
  <sheetPr codeName="Лист8"/>
  <dimension ref="A1:E6"/>
  <sheetViews>
    <sheetView tabSelected="1" workbookViewId="0"/>
  </sheetViews>
  <sheetFormatPr defaultRowHeight="14.4" x14ac:dyDescent="0.25"/>
  <cols>
    <col min="1" max="1" width="15.875" customWidth="1"/>
    <col min="2" max="2" width="17.375" style="89" customWidth="1"/>
    <col min="3" max="3" width="16.375" style="89" customWidth="1"/>
    <col min="4" max="5" width="19.375" style="86" customWidth="1"/>
  </cols>
  <sheetData>
    <row r="1" spans="1:5" x14ac:dyDescent="0.25">
      <c r="A1" s="55" t="s">
        <v>108</v>
      </c>
      <c r="B1" s="87" t="s">
        <v>109</v>
      </c>
      <c r="C1" s="87" t="s">
        <v>110</v>
      </c>
      <c r="D1" s="85" t="s">
        <v>111</v>
      </c>
      <c r="E1" s="85" t="s">
        <v>112</v>
      </c>
    </row>
    <row r="2" spans="1:5" x14ac:dyDescent="0.25">
      <c r="A2" s="1" t="s">
        <v>113</v>
      </c>
      <c r="B2" s="88">
        <v>44160</v>
      </c>
      <c r="C2" s="88">
        <v>44165</v>
      </c>
      <c r="D2" s="57" t="s">
        <v>115</v>
      </c>
      <c r="E2" s="57"/>
    </row>
    <row r="3" spans="1:5" x14ac:dyDescent="0.25">
      <c r="A3" s="1" t="s">
        <v>114</v>
      </c>
      <c r="B3" s="88">
        <v>44167</v>
      </c>
      <c r="C3" s="88">
        <v>44172</v>
      </c>
      <c r="D3" s="57" t="s">
        <v>115</v>
      </c>
      <c r="E3" s="57"/>
    </row>
    <row r="4" spans="1:5" x14ac:dyDescent="0.25">
      <c r="A4" s="1" t="s">
        <v>116</v>
      </c>
      <c r="B4" s="88">
        <v>44174</v>
      </c>
      <c r="C4" s="88">
        <v>44179</v>
      </c>
      <c r="D4" s="57" t="s">
        <v>115</v>
      </c>
      <c r="E4" s="57"/>
    </row>
    <row r="5" spans="1:5" x14ac:dyDescent="0.25">
      <c r="A5" s="1" t="s">
        <v>119</v>
      </c>
      <c r="B5" s="88">
        <v>44181</v>
      </c>
      <c r="C5" s="88">
        <v>44186</v>
      </c>
      <c r="D5" s="57" t="s">
        <v>115</v>
      </c>
      <c r="E5" s="57"/>
    </row>
    <row r="6" spans="1:5" x14ac:dyDescent="0.25">
      <c r="A6" s="1" t="s">
        <v>120</v>
      </c>
      <c r="B6" s="88">
        <v>44188</v>
      </c>
      <c r="C6" s="88">
        <v>44193</v>
      </c>
      <c r="D6" s="57" t="s">
        <v>115</v>
      </c>
      <c r="E6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Лист 1</vt:lpstr>
      <vt:lpstr>Задание B</vt:lpstr>
      <vt:lpstr>Справочник</vt:lpstr>
      <vt:lpstr>Расчет</vt:lpstr>
      <vt:lpstr>Диаграмма</vt:lpstr>
      <vt:lpstr>Задание E</vt:lpstr>
      <vt:lpstr>Вкладка 1</vt:lpstr>
      <vt:lpstr>Вкладка 2</vt:lpstr>
      <vt:lpstr>Лист1</vt:lpstr>
      <vt:lpstr>Задание G1_1</vt:lpstr>
      <vt:lpstr>Задание G1_2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 Кулаков</dc:creator>
  <cp:lastModifiedBy>Никита Кулаков</cp:lastModifiedBy>
  <dcterms:created xsi:type="dcterms:W3CDTF">2020-11-16T18:25:26Z</dcterms:created>
  <dcterms:modified xsi:type="dcterms:W3CDTF">2020-11-30T13:11:06Z</dcterms:modified>
</cp:coreProperties>
</file>